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A1A1A"/>
      <sz val="10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F4E79"/>
      <sz val="10"/>
    </font>
    <font>
      <name val="Arial"/>
      <b val="1"/>
      <color rgb="001A1A1A"/>
      <sz val="9"/>
    </font>
    <font>
      <name val="Arial"/>
      <i val="1"/>
      <color rgb="00555555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STUDENT SCORE SHEET</t>
        </is>
      </c>
    </row>
    <row r="2" ht="22" customHeight="1">
      <c r="A2" s="2" t="inlineStr">
        <is>
          <t>Class:</t>
        </is>
      </c>
      <c r="D2" s="2" t="inlineStr">
        <is>
          <t>BASIC 4</t>
        </is>
      </c>
      <c r="G2" s="2" t="inlineStr">
        <is>
          <t>Subject:</t>
        </is>
      </c>
      <c r="J2" s="2" t="inlineStr">
        <is>
          <t>English Language</t>
        </is>
      </c>
    </row>
    <row r="3" ht="22" customHeight="1">
      <c r="A3" s="2" t="inlineStr">
        <is>
          <t>Term:</t>
        </is>
      </c>
      <c r="D3" s="2" t="n">
        <v>1</v>
      </c>
      <c r="G3" s="2" t="inlineStr">
        <is>
          <t>Class Subject ID:</t>
        </is>
      </c>
      <c r="J3" s="2" t="n">
        <v>19</v>
      </c>
    </row>
    <row r="4" ht="18" customHeight="1">
      <c r="A4" s="3" t="inlineStr">
        <is>
          <t>SBA Components (each max 15) | Exam max 100 (raw) | Scaled to 50 | Total Score = SBA (50%) + Exam (50%)</t>
        </is>
      </c>
    </row>
    <row r="5" ht="6" customHeight="1"/>
    <row r="6" ht="40" customHeight="1">
      <c r="A6" s="4" t="inlineStr">
        <is>
          <t>#</t>
        </is>
      </c>
      <c r="B6" s="4" t="inlineStr">
        <is>
          <t>Student ID</t>
        </is>
      </c>
      <c r="C6" s="4" t="inlineStr">
        <is>
          <t>Student Name</t>
        </is>
      </c>
      <c r="D6" s="4" t="inlineStr">
        <is>
          <t>Individual Test
(max 15)</t>
        </is>
      </c>
      <c r="E6" s="4" t="inlineStr">
        <is>
          <t>Group Work
(max 15)</t>
        </is>
      </c>
      <c r="F6" s="4" t="inlineStr">
        <is>
          <t>Class Test
(max 15)</t>
        </is>
      </c>
      <c r="G6" s="4" t="inlineStr">
        <is>
          <t>Project
(max 15)</t>
        </is>
      </c>
      <c r="H6" s="4" t="inlineStr">
        <is>
          <t>SBA Total
(max 60)</t>
        </is>
      </c>
      <c r="I6" s="4" t="inlineStr">
        <is>
          <t>SBA Scaled
(50%)</t>
        </is>
      </c>
      <c r="J6" s="4" t="inlineStr">
        <is>
          <t>Exam Raw
(max 100)</t>
        </is>
      </c>
      <c r="K6" s="4" t="inlineStr">
        <is>
          <t>Exam Scaled
(50%)</t>
        </is>
      </c>
      <c r="L6" s="4" t="inlineStr">
        <is>
          <t>Total Score
(100%)</t>
        </is>
      </c>
    </row>
    <row r="7" ht="20" customHeight="1">
      <c r="A7" s="5" t="n">
        <v>1</v>
      </c>
      <c r="B7" s="5" t="inlineStr">
        <is>
          <t>0001</t>
        </is>
      </c>
      <c r="C7" s="6" t="inlineStr">
        <is>
          <t>Acheampong Michael</t>
        </is>
      </c>
      <c r="D7" s="7" t="n">
        <v>13</v>
      </c>
      <c r="E7" s="7" t="n">
        <v>12</v>
      </c>
      <c r="F7" s="7" t="n">
        <v>14</v>
      </c>
      <c r="G7" s="7" t="n">
        <v>11</v>
      </c>
      <c r="H7" s="8">
        <f>IFERROR(SUM(D7:G7),"")</f>
        <v/>
      </c>
      <c r="I7" s="8">
        <f>IFERROR(ROUND(H7/60*50,2),"")</f>
        <v/>
      </c>
      <c r="J7" s="7" t="n">
        <v>72</v>
      </c>
      <c r="K7" s="8">
        <f>IFERROR(ROUND(J7/100*50,2),"")</f>
        <v/>
      </c>
      <c r="L7" s="9">
        <f>IFERROR(ROUND(I7+K7,2),"")</f>
        <v/>
      </c>
    </row>
    <row r="8" ht="20" customHeight="1">
      <c r="A8" s="10" t="n">
        <v>2</v>
      </c>
      <c r="B8" s="10" t="inlineStr">
        <is>
          <t>0002</t>
        </is>
      </c>
      <c r="C8" s="11" t="inlineStr">
        <is>
          <t>Adjei Priscilla</t>
        </is>
      </c>
      <c r="D8" s="7" t="n">
        <v>10</v>
      </c>
      <c r="E8" s="7" t="n">
        <v>11</v>
      </c>
      <c r="F8" s="7" t="n">
        <v>9</v>
      </c>
      <c r="G8" s="7" t="n">
        <v>12</v>
      </c>
      <c r="H8" s="8">
        <f>IFERROR(SUM(D8:G8),"")</f>
        <v/>
      </c>
      <c r="I8" s="8">
        <f>IFERROR(ROUND(H8/60*50,2),"")</f>
        <v/>
      </c>
      <c r="J8" s="7" t="n">
        <v>58</v>
      </c>
      <c r="K8" s="8">
        <f>IFERROR(ROUND(J8/100*50,2),"")</f>
        <v/>
      </c>
      <c r="L8" s="9">
        <f>IFERROR(ROUND(I8+K8,2),"")</f>
        <v/>
      </c>
    </row>
    <row r="9" ht="20" customHeight="1">
      <c r="A9" s="5" t="n">
        <v>3</v>
      </c>
      <c r="B9" s="5" t="inlineStr">
        <is>
          <t>0003</t>
        </is>
      </c>
      <c r="C9" s="6" t="inlineStr">
        <is>
          <t>Adomako Cecilia</t>
        </is>
      </c>
      <c r="D9" s="7" t="n">
        <v>14</v>
      </c>
      <c r="E9" s="7" t="n">
        <v>13</v>
      </c>
      <c r="F9" s="7" t="n">
        <v>15</v>
      </c>
      <c r="G9" s="7" t="n">
        <v>14</v>
      </c>
      <c r="H9" s="8">
        <f>IFERROR(SUM(D9:G9),"")</f>
        <v/>
      </c>
      <c r="I9" s="8">
        <f>IFERROR(ROUND(H9/60*50,2),"")</f>
        <v/>
      </c>
      <c r="J9" s="7" t="n">
        <v>85</v>
      </c>
      <c r="K9" s="8">
        <f>IFERROR(ROUND(J9/100*50,2),"")</f>
        <v/>
      </c>
      <c r="L9" s="9">
        <f>IFERROR(ROUND(I9+K9,2),"")</f>
        <v/>
      </c>
    </row>
    <row r="10" ht="20" customHeight="1">
      <c r="A10" s="10" t="n">
        <v>4</v>
      </c>
      <c r="B10" s="10" t="inlineStr">
        <is>
          <t>0004</t>
        </is>
      </c>
      <c r="C10" s="11" t="inlineStr">
        <is>
          <t>Afriyie Samuel</t>
        </is>
      </c>
      <c r="D10" s="7" t="n">
        <v>8</v>
      </c>
      <c r="E10" s="7" t="n">
        <v>9</v>
      </c>
      <c r="F10" s="7" t="n">
        <v>10</v>
      </c>
      <c r="G10" s="7" t="n">
        <v>8</v>
      </c>
      <c r="H10" s="8">
        <f>IFERROR(SUM(D10:G10),"")</f>
        <v/>
      </c>
      <c r="I10" s="8">
        <f>IFERROR(ROUND(H10/60*50,2),"")</f>
        <v/>
      </c>
      <c r="J10" s="7" t="n">
        <v>47</v>
      </c>
      <c r="K10" s="8">
        <f>IFERROR(ROUND(J10/100*50,2),"")</f>
        <v/>
      </c>
      <c r="L10" s="9">
        <f>IFERROR(ROUND(I10+K10,2),"")</f>
        <v/>
      </c>
    </row>
    <row r="11" ht="20" customHeight="1">
      <c r="A11" s="5" t="n">
        <v>5</v>
      </c>
      <c r="B11" s="5" t="inlineStr">
        <is>
          <t>0005</t>
        </is>
      </c>
      <c r="C11" s="6" t="inlineStr">
        <is>
          <t>Akosua Dufie Abena</t>
        </is>
      </c>
      <c r="D11" s="7" t="n">
        <v>12</v>
      </c>
      <c r="E11" s="7" t="n">
        <v>14</v>
      </c>
      <c r="F11" s="7" t="n">
        <v>13</v>
      </c>
      <c r="G11" s="7" t="n">
        <v>13</v>
      </c>
      <c r="H11" s="8">
        <f>IFERROR(SUM(D11:G11),"")</f>
        <v/>
      </c>
      <c r="I11" s="8">
        <f>IFERROR(ROUND(H11/60*50,2),"")</f>
        <v/>
      </c>
      <c r="J11" s="7" t="n">
        <v>76</v>
      </c>
      <c r="K11" s="8">
        <f>IFERROR(ROUND(J11/100*50,2),"")</f>
        <v/>
      </c>
      <c r="L11" s="9">
        <f>IFERROR(ROUND(I11+K11,2),"")</f>
        <v/>
      </c>
    </row>
    <row r="12" ht="20" customHeight="1">
      <c r="A12" s="10" t="n">
        <v>6</v>
      </c>
      <c r="B12" s="10" t="inlineStr">
        <is>
          <t>0006</t>
        </is>
      </c>
      <c r="C12" s="11" t="inlineStr">
        <is>
          <t>Amoah Kweku</t>
        </is>
      </c>
      <c r="D12" s="7" t="n">
        <v>11</v>
      </c>
      <c r="E12" s="7" t="n">
        <v>10</v>
      </c>
      <c r="F12" s="7" t="n">
        <v>11</v>
      </c>
      <c r="G12" s="7" t="n">
        <v>10</v>
      </c>
      <c r="H12" s="8">
        <f>IFERROR(SUM(D12:G12),"")</f>
        <v/>
      </c>
      <c r="I12" s="8">
        <f>IFERROR(ROUND(H12/60*50,2),"")</f>
        <v/>
      </c>
      <c r="J12" s="7" t="n">
        <v>63</v>
      </c>
      <c r="K12" s="8">
        <f>IFERROR(ROUND(J12/100*50,2),"")</f>
        <v/>
      </c>
      <c r="L12" s="9">
        <f>IFERROR(ROUND(I12+K12,2),"")</f>
        <v/>
      </c>
    </row>
    <row r="13" ht="20" customHeight="1">
      <c r="A13" s="5" t="n">
        <v>7</v>
      </c>
      <c r="B13" s="5" t="inlineStr">
        <is>
          <t>0007</t>
        </is>
      </c>
      <c r="C13" s="6" t="inlineStr">
        <is>
          <t>Amponsah Gifty</t>
        </is>
      </c>
      <c r="D13" s="7" t="n">
        <v>15</v>
      </c>
      <c r="E13" s="7" t="n">
        <v>15</v>
      </c>
      <c r="F13" s="7" t="n">
        <v>14</v>
      </c>
      <c r="G13" s="7" t="n">
        <v>15</v>
      </c>
      <c r="H13" s="8">
        <f>IFERROR(SUM(D13:G13),"")</f>
        <v/>
      </c>
      <c r="I13" s="8">
        <f>IFERROR(ROUND(H13/60*50,2),"")</f>
        <v/>
      </c>
      <c r="J13" s="7" t="n">
        <v>91</v>
      </c>
      <c r="K13" s="8">
        <f>IFERROR(ROUND(J13/100*50,2),"")</f>
        <v/>
      </c>
      <c r="L13" s="9">
        <f>IFERROR(ROUND(I13+K13,2),"")</f>
        <v/>
      </c>
    </row>
    <row r="14" ht="20" customHeight="1">
      <c r="A14" s="10" t="n">
        <v>8</v>
      </c>
      <c r="B14" s="10" t="inlineStr">
        <is>
          <t>0008</t>
        </is>
      </c>
      <c r="C14" s="11" t="inlineStr">
        <is>
          <t>Ansah Bright</t>
        </is>
      </c>
      <c r="D14" s="7" t="n">
        <v>9</v>
      </c>
      <c r="E14" s="7" t="n">
        <v>8</v>
      </c>
      <c r="F14" s="7" t="n">
        <v>7</v>
      </c>
      <c r="G14" s="7" t="n">
        <v>9</v>
      </c>
      <c r="H14" s="8">
        <f>IFERROR(SUM(D14:G14),"")</f>
        <v/>
      </c>
      <c r="I14" s="8">
        <f>IFERROR(ROUND(H14/60*50,2),"")</f>
        <v/>
      </c>
      <c r="J14" s="7" t="n">
        <v>52</v>
      </c>
      <c r="K14" s="8">
        <f>IFERROR(ROUND(J14/100*50,2),"")</f>
        <v/>
      </c>
      <c r="L14" s="9">
        <f>IFERROR(ROUND(I14+K14,2),"")</f>
        <v/>
      </c>
    </row>
    <row r="15" ht="20" customHeight="1">
      <c r="A15" s="5" t="n">
        <v>9</v>
      </c>
      <c r="B15" s="5" t="inlineStr">
        <is>
          <t>0009</t>
        </is>
      </c>
      <c r="C15" s="6" t="inlineStr">
        <is>
          <t>Asante Nana Yaw</t>
        </is>
      </c>
      <c r="D15" s="7" t="n">
        <v>13</v>
      </c>
      <c r="E15" s="7" t="n">
        <v>12</v>
      </c>
      <c r="F15" s="7" t="n">
        <v>13</v>
      </c>
      <c r="G15" s="7" t="n">
        <v>11</v>
      </c>
      <c r="H15" s="8">
        <f>IFERROR(SUM(D15:G15),"")</f>
        <v/>
      </c>
      <c r="I15" s="8">
        <f>IFERROR(ROUND(H15/60*50,2),"")</f>
        <v/>
      </c>
      <c r="J15" s="7" t="n">
        <v>69</v>
      </c>
      <c r="K15" s="8">
        <f>IFERROR(ROUND(J15/100*50,2),"")</f>
        <v/>
      </c>
      <c r="L15" s="9">
        <f>IFERROR(ROUND(I15+K15,2),"")</f>
        <v/>
      </c>
    </row>
    <row r="16" ht="20" customHeight="1">
      <c r="A16" s="10" t="n">
        <v>10</v>
      </c>
      <c r="B16" s="10" t="inlineStr">
        <is>
          <t>0010</t>
        </is>
      </c>
      <c r="C16" s="11" t="inlineStr">
        <is>
          <t>Asiedu Josephine</t>
        </is>
      </c>
      <c r="D16" s="7" t="n">
        <v>10</v>
      </c>
      <c r="E16" s="7" t="n">
        <v>11</v>
      </c>
      <c r="F16" s="7" t="n">
        <v>12</v>
      </c>
      <c r="G16" s="7" t="n">
        <v>10</v>
      </c>
      <c r="H16" s="8">
        <f>IFERROR(SUM(D16:G16),"")</f>
        <v/>
      </c>
      <c r="I16" s="8">
        <f>IFERROR(ROUND(H16/60*50,2),"")</f>
        <v/>
      </c>
      <c r="J16" s="7" t="n">
        <v>61</v>
      </c>
      <c r="K16" s="8">
        <f>IFERROR(ROUND(J16/100*50,2),"")</f>
        <v/>
      </c>
      <c r="L16" s="9">
        <f>IFERROR(ROUND(I16+K16,2),"")</f>
        <v/>
      </c>
    </row>
    <row r="17" ht="20" customHeight="1">
      <c r="A17" s="5" t="n">
        <v>11</v>
      </c>
      <c r="B17" s="5" t="inlineStr">
        <is>
          <t>0011</t>
        </is>
      </c>
      <c r="C17" s="6" t="inlineStr">
        <is>
          <t>Baah Kofi</t>
        </is>
      </c>
      <c r="D17" s="7" t="n">
        <v>7</v>
      </c>
      <c r="E17" s="7" t="n">
        <v>8</v>
      </c>
      <c r="F17" s="7" t="n">
        <v>6</v>
      </c>
      <c r="G17" s="7" t="n">
        <v>7</v>
      </c>
      <c r="H17" s="8">
        <f>IFERROR(SUM(D17:G17),"")</f>
        <v/>
      </c>
      <c r="I17" s="8">
        <f>IFERROR(ROUND(H17/60*50,2),"")</f>
        <v/>
      </c>
      <c r="J17" s="7" t="n">
        <v>43</v>
      </c>
      <c r="K17" s="8">
        <f>IFERROR(ROUND(J17/100*50,2),"")</f>
        <v/>
      </c>
      <c r="L17" s="9">
        <f>IFERROR(ROUND(I17+K17,2),"")</f>
        <v/>
      </c>
    </row>
    <row r="18" ht="20" customHeight="1">
      <c r="A18" s="10" t="n">
        <v>12</v>
      </c>
      <c r="B18" s="10" t="inlineStr">
        <is>
          <t>0012</t>
        </is>
      </c>
      <c r="C18" s="11" t="inlineStr">
        <is>
          <t>Boateng Akua</t>
        </is>
      </c>
      <c r="D18" s="7" t="n">
        <v>14</v>
      </c>
      <c r="E18" s="7" t="n">
        <v>13</v>
      </c>
      <c r="F18" s="7" t="n">
        <v>15</v>
      </c>
      <c r="G18" s="7" t="n">
        <v>14</v>
      </c>
      <c r="H18" s="8">
        <f>IFERROR(SUM(D18:G18),"")</f>
        <v/>
      </c>
      <c r="I18" s="8">
        <f>IFERROR(ROUND(H18/60*50,2),"")</f>
        <v/>
      </c>
      <c r="J18" s="7" t="n">
        <v>88</v>
      </c>
      <c r="K18" s="8">
        <f>IFERROR(ROUND(J18/100*50,2),"")</f>
        <v/>
      </c>
      <c r="L18" s="9">
        <f>IFERROR(ROUND(I18+K18,2),"")</f>
        <v/>
      </c>
    </row>
    <row r="19" ht="20" customHeight="1">
      <c r="A19" s="5" t="n">
        <v>13</v>
      </c>
      <c r="B19" s="5" t="inlineStr">
        <is>
          <t>0013</t>
        </is>
      </c>
      <c r="C19" s="6" t="inlineStr">
        <is>
          <t>Darko Emmanuel</t>
        </is>
      </c>
      <c r="D19" s="7" t="n">
        <v>11</v>
      </c>
      <c r="E19" s="7" t="n">
        <v>12</v>
      </c>
      <c r="F19" s="7" t="n">
        <v>10</v>
      </c>
      <c r="G19" s="7" t="n">
        <v>12</v>
      </c>
      <c r="H19" s="8">
        <f>IFERROR(SUM(D19:G19),"")</f>
        <v/>
      </c>
      <c r="I19" s="8">
        <f>IFERROR(ROUND(H19/60*50,2),"")</f>
        <v/>
      </c>
      <c r="J19" s="7" t="n">
        <v>66</v>
      </c>
      <c r="K19" s="8">
        <f>IFERROR(ROUND(J19/100*50,2),"")</f>
        <v/>
      </c>
      <c r="L19" s="9">
        <f>IFERROR(ROUND(I19+K19,2),"")</f>
        <v/>
      </c>
    </row>
    <row r="20" ht="20" customHeight="1">
      <c r="A20" s="10" t="n">
        <v>14</v>
      </c>
      <c r="B20" s="10" t="inlineStr">
        <is>
          <t>0014</t>
        </is>
      </c>
      <c r="C20" s="11" t="inlineStr">
        <is>
          <t>Domfeh Abigail</t>
        </is>
      </c>
      <c r="D20" s="7" t="n">
        <v>12</v>
      </c>
      <c r="E20" s="7" t="n">
        <v>11</v>
      </c>
      <c r="F20" s="7" t="n">
        <v>13</v>
      </c>
      <c r="G20" s="7" t="n">
        <v>11</v>
      </c>
      <c r="H20" s="8">
        <f>IFERROR(SUM(D20:G20),"")</f>
        <v/>
      </c>
      <c r="I20" s="8">
        <f>IFERROR(ROUND(H20/60*50,2),"")</f>
        <v/>
      </c>
      <c r="J20" s="7" t="n">
        <v>74</v>
      </c>
      <c r="K20" s="8">
        <f>IFERROR(ROUND(J20/100*50,2),"")</f>
        <v/>
      </c>
      <c r="L20" s="9">
        <f>IFERROR(ROUND(I20+K20,2),"")</f>
        <v/>
      </c>
    </row>
    <row r="21" ht="20" customHeight="1">
      <c r="A21" s="5" t="n">
        <v>15</v>
      </c>
      <c r="B21" s="5" t="inlineStr">
        <is>
          <t>0015</t>
        </is>
      </c>
      <c r="C21" s="6" t="inlineStr">
        <is>
          <t>Duah Isaac</t>
        </is>
      </c>
      <c r="D21" s="7" t="n">
        <v>6</v>
      </c>
      <c r="E21" s="7" t="n">
        <v>7</v>
      </c>
      <c r="F21" s="7" t="n">
        <v>8</v>
      </c>
      <c r="G21" s="7" t="n">
        <v>6</v>
      </c>
      <c r="H21" s="8">
        <f>IFERROR(SUM(D21:G21),"")</f>
        <v/>
      </c>
      <c r="I21" s="8">
        <f>IFERROR(ROUND(H21/60*50,2),"")</f>
        <v/>
      </c>
      <c r="J21" s="7" t="n">
        <v>39</v>
      </c>
      <c r="K21" s="8">
        <f>IFERROR(ROUND(J21/100*50,2),"")</f>
        <v/>
      </c>
      <c r="L21" s="9">
        <f>IFERROR(ROUND(I21+K21,2),"")</f>
        <v/>
      </c>
    </row>
    <row r="22" ht="20" customHeight="1">
      <c r="A22" s="10" t="n">
        <v>16</v>
      </c>
      <c r="B22" s="10" t="inlineStr">
        <is>
          <t>0016</t>
        </is>
      </c>
      <c r="C22" s="11" t="inlineStr">
        <is>
          <t>Forson Beatrice</t>
        </is>
      </c>
      <c r="D22" s="7" t="n">
        <v>13</v>
      </c>
      <c r="E22" s="7" t="n">
        <v>14</v>
      </c>
      <c r="F22" s="7" t="n">
        <v>12</v>
      </c>
      <c r="G22" s="7" t="n">
        <v>13</v>
      </c>
      <c r="H22" s="8">
        <f>IFERROR(SUM(D22:G22),"")</f>
        <v/>
      </c>
      <c r="I22" s="8">
        <f>IFERROR(ROUND(H22/60*50,2),"")</f>
        <v/>
      </c>
      <c r="J22" s="7" t="n">
        <v>79</v>
      </c>
      <c r="K22" s="8">
        <f>IFERROR(ROUND(J22/100*50,2),"")</f>
        <v/>
      </c>
      <c r="L22" s="9">
        <f>IFERROR(ROUND(I22+K22,2),"")</f>
        <v/>
      </c>
    </row>
    <row r="23" ht="20" customHeight="1">
      <c r="A23" s="5" t="n">
        <v>17</v>
      </c>
      <c r="B23" s="5" t="inlineStr">
        <is>
          <t>0017</t>
        </is>
      </c>
      <c r="C23" s="6" t="inlineStr">
        <is>
          <t>Frimpong Daniel</t>
        </is>
      </c>
      <c r="D23" s="7" t="n">
        <v>15</v>
      </c>
      <c r="E23" s="7" t="n">
        <v>14</v>
      </c>
      <c r="F23" s="7" t="n">
        <v>15</v>
      </c>
      <c r="G23" s="7" t="n">
        <v>15</v>
      </c>
      <c r="H23" s="8">
        <f>IFERROR(SUM(D23:G23),"")</f>
        <v/>
      </c>
      <c r="I23" s="8">
        <f>IFERROR(ROUND(H23/60*50,2),"")</f>
        <v/>
      </c>
      <c r="J23" s="7" t="n">
        <v>93</v>
      </c>
      <c r="K23" s="8">
        <f>IFERROR(ROUND(J23/100*50,2),"")</f>
        <v/>
      </c>
      <c r="L23" s="9">
        <f>IFERROR(ROUND(I23+K23,2),"")</f>
        <v/>
      </c>
    </row>
    <row r="24" ht="20" customHeight="1">
      <c r="A24" s="10" t="n">
        <v>18</v>
      </c>
      <c r="B24" s="10" t="inlineStr">
        <is>
          <t>0018</t>
        </is>
      </c>
      <c r="C24" s="11" t="inlineStr">
        <is>
          <t>Gyan Patricia</t>
        </is>
      </c>
      <c r="D24" s="7" t="n">
        <v>9</v>
      </c>
      <c r="E24" s="7" t="n">
        <v>10</v>
      </c>
      <c r="F24" s="7" t="n">
        <v>9</v>
      </c>
      <c r="G24" s="7" t="n">
        <v>8</v>
      </c>
      <c r="H24" s="8">
        <f>IFERROR(SUM(D24:G24),"")</f>
        <v/>
      </c>
      <c r="I24" s="8">
        <f>IFERROR(ROUND(H24/60*50,2),"")</f>
        <v/>
      </c>
      <c r="J24" s="7" t="n">
        <v>55</v>
      </c>
      <c r="K24" s="8">
        <f>IFERROR(ROUND(J24/100*50,2),"")</f>
        <v/>
      </c>
      <c r="L24" s="9">
        <f>IFERROR(ROUND(I24+K24,2),"")</f>
        <v/>
      </c>
    </row>
    <row r="25" ht="20" customHeight="1">
      <c r="A25" s="5" t="n">
        <v>19</v>
      </c>
      <c r="B25" s="5" t="inlineStr">
        <is>
          <t>0019</t>
        </is>
      </c>
      <c r="C25" s="6" t="inlineStr">
        <is>
          <t>Gyasi Richard</t>
        </is>
      </c>
      <c r="D25" s="7" t="n">
        <v>12</v>
      </c>
      <c r="E25" s="7" t="n">
        <v>12</v>
      </c>
      <c r="F25" s="7" t="n">
        <v>11</v>
      </c>
      <c r="G25" s="7" t="n">
        <v>13</v>
      </c>
      <c r="H25" s="8">
        <f>IFERROR(SUM(D25:G25),"")</f>
        <v/>
      </c>
      <c r="I25" s="8">
        <f>IFERROR(ROUND(H25/60*50,2),"")</f>
        <v/>
      </c>
      <c r="J25" s="7" t="n">
        <v>71</v>
      </c>
      <c r="K25" s="8">
        <f>IFERROR(ROUND(J25/100*50,2),"")</f>
        <v/>
      </c>
      <c r="L25" s="9">
        <f>IFERROR(ROUND(I25+K25,2),"")</f>
        <v/>
      </c>
    </row>
    <row r="26" ht="20" customHeight="1">
      <c r="A26" s="10" t="n">
        <v>20</v>
      </c>
      <c r="B26" s="10" t="inlineStr">
        <is>
          <t>0020</t>
        </is>
      </c>
      <c r="C26" s="11" t="inlineStr">
        <is>
          <t>Mensah Eunice</t>
        </is>
      </c>
      <c r="D26" s="7" t="n">
        <v>10</v>
      </c>
      <c r="E26" s="7" t="n">
        <v>9</v>
      </c>
      <c r="F26" s="7" t="n">
        <v>10</v>
      </c>
      <c r="G26" s="7" t="n">
        <v>11</v>
      </c>
      <c r="H26" s="8">
        <f>IFERROR(SUM(D26:G26),"")</f>
        <v/>
      </c>
      <c r="I26" s="8">
        <f>IFERROR(ROUND(H26/60*50,2),"")</f>
        <v/>
      </c>
      <c r="J26" s="7" t="n">
        <v>60</v>
      </c>
      <c r="K26" s="8">
        <f>IFERROR(ROUND(J26/100*50,2),"")</f>
        <v/>
      </c>
      <c r="L26" s="9">
        <f>IFERROR(ROUND(I26+K26,2),"")</f>
        <v/>
      </c>
    </row>
    <row r="27" ht="22" customHeight="1">
      <c r="A27" s="4" t="inlineStr">
        <is>
          <t>CLASS AVERAGE</t>
        </is>
      </c>
      <c r="D27" s="4">
        <f>IFERROR(ROUND(AVERAGE(D7:D26),2),"")</f>
        <v/>
      </c>
      <c r="E27" s="4">
        <f>IFERROR(ROUND(AVERAGE(E7:E26),2),"")</f>
        <v/>
      </c>
      <c r="F27" s="4">
        <f>IFERROR(ROUND(AVERAGE(F7:F26),2),"")</f>
        <v/>
      </c>
      <c r="G27" s="4">
        <f>IFERROR(ROUND(AVERAGE(G7:G26),2),"")</f>
        <v/>
      </c>
      <c r="H27" s="4">
        <f>IFERROR(ROUND(AVERAGE(H7:H26),2),"")</f>
        <v/>
      </c>
      <c r="I27" s="4">
        <f>IFERROR(ROUND(AVERAGE(I7:I26),2),"")</f>
        <v/>
      </c>
      <c r="J27" s="4">
        <f>IFERROR(ROUND(AVERAGE(J7:J26),2),"")</f>
        <v/>
      </c>
      <c r="K27" s="4">
        <f>IFERROR(ROUND(AVERAGE(K7:K26),2),"")</f>
        <v/>
      </c>
      <c r="L27" s="4">
        <f>IFERROR(ROUND(AVERAGE(L7:L26),2),"")</f>
        <v/>
      </c>
    </row>
    <row r="29" ht="16" customHeight="1">
      <c r="A29" s="12" t="inlineStr">
        <is>
          <t>Legend: Blue cells = Entered scores  |  Yellow cells = Auto-calculated  |  Green cells = Total score  |  SBA Scaled = SBA Total / 60 × 50  |  Exam Scaled = Exam Raw / 100 × 50</t>
        </is>
      </c>
    </row>
  </sheetData>
  <mergeCells count="12">
    <mergeCell ref="D2:F2"/>
    <mergeCell ref="G2:I2"/>
    <mergeCell ref="J2:L2"/>
    <mergeCell ref="A29:L29"/>
    <mergeCell ref="A1:L1"/>
    <mergeCell ref="A27:C27"/>
    <mergeCell ref="D3:F3"/>
    <mergeCell ref="A3:C3"/>
    <mergeCell ref="G3:I3"/>
    <mergeCell ref="J3:L3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2026-03-21T09:51:18Z</dcterms:created>
  <dcterms:modified xmlns:dcterms="http://purl.org/dc/terms/" xmlns:xsi="http://www.w3.org/2001/XMLSchema-instance" xsi:type="dcterms:W3CDTF">2026-03-21T09:51:18Z</dcterms:modified>
</cp:coreProperties>
</file>